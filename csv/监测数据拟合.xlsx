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ml.chartshapes+xml"/>
  <Override PartName="/xl/drawings/drawing3.xml" ContentType="application/vnd.openxmlformats-officedocument.drawingml.chartshap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<sst xmlns="http://schemas.openxmlformats.org/spreadsheetml/2006/main" count="14" uniqueCount="11">
  <si>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外江水位</t>
  </si>
  <si>
    <t>流量</t>
  </si>
  <si>
    <t>m</t>
  </si>
  <si>
    <t>第1年</t>
  </si>
  <si>
    <t>第3年</t>
  </si>
  <si>
    <t>第i年</t>
  </si>
  <si>
    <t>水位</t>
  </si>
  <si>
    <t>堤防在役减压井淤堵状态在线智能诊断和自动预警系统</t>
  </si>
  <si>
    <t>功能要求</t>
  </si>
  <si>
    <t>可实现外江水位和井流量关联行程如图曲线，同时可实现表格数据下载，</t>
  </si>
  <si>
    <t>软件可手机登录使用或电脑登录使用，用户权限两类（管理员和客户）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</si>
</sst>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Font="1" applyBorder="1"/>
    <xf numFmtId="0" fontId="0" fillId="0" borderId="0" xfId="0" applyFont="1"/>
    <xf numFmtId="0" fontId="1" fillId="2" borderId="1" xfId="0" applyFont="1" applyFill="1" applyBorder="1" applyAlignment="1">
      <alignment horizontal="center"/>
    </xf>
    <xf numFmtId="0" fontId="0" fillId="2" borderId="1" xfId="0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3" Type="http://schemas.microsoft.com/office/2011/relationships/chartColorStyle" Target="colors2.xml"/><Relationship Id="rId2" Type="http://schemas.microsoft.com/office/2011/relationships/chartStyle" Target="style2.xml"/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基于流量的减压井淤堵状态预警曲线（</a:t>
            </a:r>
            <a:r>
              <a:rPr lang="en-US" altLang="zh-CN"/>
              <a:t>H-Q)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0394238984499"/>
          <c:y val="0.16994292961319"/>
          <c:w val="0.875186134505065"/>
          <c:h val="0.674994715704925"/>
        </c:manualLayout>
      </c:layout>
      <c:lineChart>
        <c:grouping val="standard"/>
        <c:varyColors val="0"/>
        <c:ser>
          <c:idx val="1"/>
          <c:order val="0"/>
          <c:tx>
            <c:strRef>
              <c:f>Sheet1!$E$4</c:f>
              <c:strCache>
                <c:ptCount val="1"/>
                <c:pt idx="0">
                  <c:v>第1年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val>
            <c:numRef>
              <c:f>Sheet1!$E$5:$E$14</c:f>
              <c:numCache>
                <c:formatCode>General</c:formatCode>
                <c:ptCount val="10"/>
                <c:pt idx="0">
                  <c:v>5</c:v>
                </c:pt>
                <c:pt idx="1">
                  <c:v>7</c:v>
                </c:pt>
                <c:pt idx="2">
                  <c:v>8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36</c:v>
                </c:pt>
                <c:pt idx="9">
                  <c:v>40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Sheet1!$F$4</c:f>
              <c:strCache>
                <c:ptCount val="1"/>
                <c:pt idx="0">
                  <c:v>第3年</c:v>
                </c:pt>
              </c:strCache>
            </c:strRef>
          </c:tx>
          <c:spPr>
            <a:ln w="2857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val>
            <c:numRef>
              <c:f>Sheet1!$F$5:$F$14</c:f>
              <c:numCache>
                <c:formatCode>General</c:formatCode>
                <c:ptCount val="10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9</c:v>
                </c:pt>
                <c:pt idx="4">
                  <c:v>13</c:v>
                </c:pt>
                <c:pt idx="5">
                  <c:v>18</c:v>
                </c:pt>
                <c:pt idx="6">
                  <c:v>24</c:v>
                </c:pt>
                <c:pt idx="7">
                  <c:v>28</c:v>
                </c:pt>
                <c:pt idx="8">
                  <c:v>35</c:v>
                </c:pt>
                <c:pt idx="9">
                  <c:v>38</c:v>
                </c:pt>
              </c:numCache>
            </c:numRef>
          </c:val>
          <c:smooth val="0"/>
        </c:ser>
        <c:ser>
          <c:idx val="3"/>
          <c:order val="2"/>
          <c:tx>
            <c:strRef>
              <c:f>Sheet1!$G$4</c:f>
              <c:strCache>
                <c:ptCount val="1"/>
                <c:pt idx="0">
                  <c:v>第i年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val>
            <c:numRef>
              <c:f>Sheet1!$G$5:$G$14</c:f>
              <c:numCache>
                <c:formatCode>General</c:formatCode>
                <c:ptCount val="10"/>
                <c:pt idx="0">
                  <c:v>3</c:v>
                </c:pt>
                <c:pt idx="1">
                  <c:v>5</c:v>
                </c:pt>
                <c:pt idx="2">
                  <c:v>7</c:v>
                </c:pt>
                <c:pt idx="3">
                  <c:v>8</c:v>
                </c:pt>
                <c:pt idx="4">
                  <c:v>11</c:v>
                </c:pt>
                <c:pt idx="5">
                  <c:v>16</c:v>
                </c:pt>
                <c:pt idx="6">
                  <c:v>19</c:v>
                </c:pt>
                <c:pt idx="7">
                  <c:v>23</c:v>
                </c:pt>
                <c:pt idx="8">
                  <c:v>26</c:v>
                </c:pt>
                <c:pt idx="9">
                  <c:v>30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2253888"/>
        <c:axId val="345199856"/>
      </c:lineChart>
      <c:catAx>
        <c:axId val="342253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江水位（</a:t>
                </a:r>
                <a:r>
                  <a:rPr lang="en-US" altLang="zh-CN"/>
                  <a:t>m</a:t>
                </a:r>
                <a:r>
                  <a:rPr lang="zh-CN" altLang="en-US"/>
                  <a:t>）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448724550751914"/>
              <c:y val="0.918436756961231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5199856"/>
        <c:crosses val="autoZero"/>
        <c:auto val="1"/>
        <c:lblAlgn val="ctr"/>
        <c:lblOffset val="100"/>
        <c:noMultiLvlLbl val="0"/>
      </c:catAx>
      <c:valAx>
        <c:axId val="34519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流量（</a:t>
                </a:r>
                <a:r>
                  <a:rPr lang="en-US" altLang="zh-CN"/>
                  <a:t>m</a:t>
                </a:r>
                <a:r>
                  <a:rPr lang="en-US" altLang="zh-CN" sz="800"/>
                  <a:t>3</a:t>
                </a:r>
                <a:r>
                  <a:rPr lang="en-US" altLang="zh-CN"/>
                  <a:t>/h)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22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22777777777778"/>
          <c:y val="0.222800379119277"/>
          <c:w val="0.51"/>
          <c:h val="0.07812554680664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d0978d7-bc8a-4c86-b0b9-7618da19d25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年度汛期江水位与减压井内水压关系曲线（</a:t>
            </a:r>
            <a:r>
              <a:rPr lang="en-US" altLang="zh-CN"/>
              <a:t>H-p)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76118652589241"/>
          <c:y val="0.160618279569892"/>
          <c:w val="0.882403217697335"/>
          <c:h val="0.688933691756272"/>
        </c:manualLayout>
      </c:layout>
      <c:lineChart>
        <c:grouping val="standard"/>
        <c:varyColors val="0"/>
        <c:ser>
          <c:idx val="1"/>
          <c:order val="0"/>
          <c:tx>
            <c:strRef>
              <c:f>Sheet1!$K$4</c:f>
              <c:strCache>
                <c:ptCount val="1"/>
                <c:pt idx="0">
                  <c:v>第1年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val>
            <c:numRef>
              <c:f>Sheet1!$K$5:$K$14</c:f>
              <c:numCache>
                <c:formatCode>General</c:formatCode>
                <c:ptCount val="10"/>
                <c:pt idx="0">
                  <c:v>0.5</c:v>
                </c:pt>
                <c:pt idx="1">
                  <c:v>0.7</c:v>
                </c:pt>
                <c:pt idx="2">
                  <c:v>0.8</c:v>
                </c:pt>
                <c:pt idx="3">
                  <c:v>1</c:v>
                </c:pt>
                <c:pt idx="4">
                  <c:v>1.5</c:v>
                </c:pt>
                <c:pt idx="5">
                  <c:v>2</c:v>
                </c:pt>
                <c:pt idx="6">
                  <c:v>2.5</c:v>
                </c:pt>
                <c:pt idx="7">
                  <c:v>3</c:v>
                </c:pt>
                <c:pt idx="8">
                  <c:v>3.6</c:v>
                </c:pt>
                <c:pt idx="9">
                  <c:v>4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Sheet1!$L$4</c:f>
              <c:strCache>
                <c:ptCount val="1"/>
                <c:pt idx="0">
                  <c:v>第3年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val>
            <c:numRef>
              <c:f>Sheet1!$L$5:$L$14</c:f>
              <c:numCache>
                <c:formatCode>General</c:formatCode>
                <c:ptCount val="10"/>
                <c:pt idx="0">
                  <c:v>0.4</c:v>
                </c:pt>
                <c:pt idx="1">
                  <c:v>0.6</c:v>
                </c:pt>
                <c:pt idx="2">
                  <c:v>0.8</c:v>
                </c:pt>
                <c:pt idx="3">
                  <c:v>0.9</c:v>
                </c:pt>
                <c:pt idx="4">
                  <c:v>1.3</c:v>
                </c:pt>
                <c:pt idx="5">
                  <c:v>1.8</c:v>
                </c:pt>
                <c:pt idx="6">
                  <c:v>2.4</c:v>
                </c:pt>
                <c:pt idx="7">
                  <c:v>2.8</c:v>
                </c:pt>
                <c:pt idx="8">
                  <c:v>3.5</c:v>
                </c:pt>
                <c:pt idx="9">
                  <c:v>3.8</c:v>
                </c:pt>
              </c:numCache>
            </c:numRef>
          </c:val>
          <c:smooth val="0"/>
        </c:ser>
        <c:ser>
          <c:idx val="3"/>
          <c:order val="2"/>
          <c:tx>
            <c:strRef>
              <c:f>Sheet1!$M$4</c:f>
              <c:strCache>
                <c:ptCount val="1"/>
                <c:pt idx="0">
                  <c:v>第i年</c:v>
                </c:pt>
              </c:strCache>
            </c:strRef>
          </c:tx>
          <c:spPr>
            <a:ln w="28575" cap="flat">
              <a:solidFill>
                <a:schemeClr val="accent4"/>
              </a:solidFill>
              <a:bevel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val>
            <c:numRef>
              <c:f>Sheet1!$M$5:$M$14</c:f>
              <c:numCache>
                <c:formatCode>General</c:formatCode>
                <c:ptCount val="10"/>
                <c:pt idx="0">
                  <c:v>0.3</c:v>
                </c:pt>
                <c:pt idx="1">
                  <c:v>0.5</c:v>
                </c:pt>
                <c:pt idx="2">
                  <c:v>0.7</c:v>
                </c:pt>
                <c:pt idx="3">
                  <c:v>0.8</c:v>
                </c:pt>
                <c:pt idx="4">
                  <c:v>1.1</c:v>
                </c:pt>
                <c:pt idx="5">
                  <c:v>1.6</c:v>
                </c:pt>
                <c:pt idx="6">
                  <c:v>1.9</c:v>
                </c:pt>
                <c:pt idx="7">
                  <c:v>2.3</c:v>
                </c:pt>
                <c:pt idx="8">
                  <c:v>2.6</c:v>
                </c:pt>
                <c:pt idx="9">
                  <c:v>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6719392"/>
        <c:axId val="1046718976"/>
      </c:lineChart>
      <c:catAx>
        <c:axId val="1046719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江水位（</a:t>
                </a:r>
                <a:r>
                  <a:rPr lang="en-US" altLang="zh-CN"/>
                  <a:t>m)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480553700866577"/>
              <c:y val="0.916442652329749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46718976"/>
        <c:crossesAt val="0"/>
        <c:auto val="1"/>
        <c:lblAlgn val="ctr"/>
        <c:lblOffset val="100"/>
        <c:noMultiLvlLbl val="0"/>
      </c:catAx>
      <c:valAx>
        <c:axId val="104671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水压力</a:t>
                </a:r>
                <a:r>
                  <a:rPr lang="en-US" altLang="zh-CN"/>
                  <a:t>(cm)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#,##0.0_);[Red]\(#,##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46719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3888888888889"/>
          <c:y val="0.255207786526684"/>
          <c:w val="0.51"/>
          <c:h val="0.07812554680664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66046b3-05e5-491f-b672-47889eb73b1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643890</xdr:colOff>
      <xdr:row>14</xdr:row>
      <xdr:rowOff>62230</xdr:rowOff>
    </xdr:from>
    <xdr:to>
      <xdr:col>17</xdr:col>
      <xdr:colOff>83820</xdr:colOff>
      <xdr:row>30</xdr:row>
      <xdr:rowOff>170815</xdr:rowOff>
    </xdr:to>
    <xdr:graphicFrame>
      <xdr:nvGraphicFramePr>
        <xdr:cNvPr id="4" name="图表 3"/>
        <xdr:cNvGraphicFramePr/>
      </xdr:nvGraphicFramePr>
      <xdr:xfrm>
        <a:off x="6658610" y="3049270"/>
        <a:ext cx="4822190" cy="35223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68580</xdr:colOff>
      <xdr:row>5</xdr:row>
      <xdr:rowOff>59055</xdr:rowOff>
    </xdr:from>
    <xdr:to>
      <xdr:col>26</xdr:col>
      <xdr:colOff>596265</xdr:colOff>
      <xdr:row>20</xdr:row>
      <xdr:rowOff>179070</xdr:rowOff>
    </xdr:to>
    <xdr:graphicFrame>
      <xdr:nvGraphicFramePr>
        <xdr:cNvPr id="2" name="图表 1"/>
        <xdr:cNvGraphicFramePr/>
      </xdr:nvGraphicFramePr>
      <xdr:xfrm>
        <a:off x="12745720" y="1125855"/>
        <a:ext cx="5008245" cy="33204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219075</xdr:colOff>
      <xdr:row>23</xdr:row>
      <xdr:rowOff>114300</xdr:rowOff>
    </xdr:from>
    <xdr:to>
      <xdr:col>16</xdr:col>
      <xdr:colOff>825500</xdr:colOff>
      <xdr:row>26</xdr:row>
      <xdr:rowOff>27940</xdr:rowOff>
    </xdr:to>
    <xdr:sp>
      <xdr:nvSpPr>
        <xdr:cNvPr id="3" name="文本框 2"/>
        <xdr:cNvSpPr txBox="1"/>
      </xdr:nvSpPr>
      <xdr:spPr>
        <a:xfrm>
          <a:off x="10078085" y="5021580"/>
          <a:ext cx="1246505" cy="55372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txBody>
        <a:bodyPr vertOverflow="clip" horzOverflow="clip" wrap="square" rtlCol="0" anchor="t"/>
        <a:p>
          <a:r>
            <a:rPr lang="en-US" altLang="zh-CN"/>
            <a:t>i</a:t>
          </a:r>
          <a:r>
            <a:rPr lang="en-US" altLang="zh-CN" sz="600"/>
            <a:t>HQ</a:t>
          </a:r>
          <a:r>
            <a:rPr lang="en-US" altLang="zh-CN"/>
            <a:t>=25%     </a:t>
          </a:r>
          <a:r>
            <a:rPr lang="zh-CN" altLang="en-US"/>
            <a:t>预警级别</a:t>
          </a:r>
          <a:r>
            <a:rPr lang="en-US" altLang="zh-CN"/>
            <a:t>2</a:t>
          </a:r>
          <a:r>
            <a:rPr lang="zh-CN" altLang="en-US"/>
            <a:t>轻度淤堵</a:t>
          </a:r>
          <a:endParaRPr lang="en-US" altLang="zh-CN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0.89234712559502</cdr:x>
      <cdr:y>0.442189811879095</cdr:y>
    </cdr:from>
    <cdr:to>
      <cdr:x>0.916147931160747</cdr:x>
      <cdr:y>0.537307123229761</cdr:y>
    </cdr:to>
    <cdr:cxnSp>
      <cdr:nvCxnSpPr>
        <cdr:cNvPr id="2" name="直接箭头连接符 1"/>
        <cdr:cNvCxnSpPr/>
      </cdr:nvCxnSpPr>
      <cdr:spPr xmlns:a="http://schemas.openxmlformats.org/drawingml/2006/main">
        <a:xfrm xmlns:a="http://schemas.openxmlformats.org/drawingml/2006/main" flipV="1">
          <a:off x="4642485" y="1328420"/>
          <a:ext cx="123825" cy="285750"/>
        </a:xfrm>
        <a:prstGeom xmlns:a="http://schemas.openxmlformats.org/drawingml/2006/main" prst="straightConnector1">
          <a:avLst/>
        </a:prstGeom>
        <a:ln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0.861236802413273</cdr:x>
      <cdr:y>0.426075268817204</cdr:y>
    </cdr:from>
    <cdr:to>
      <cdr:x>0.930995475113122</cdr:x>
      <cdr:y>0.580645161290323</cdr:y>
    </cdr:to>
    <cdr:cxnSp>
      <cdr:nvCxnSpPr>
        <cdr:cNvPr id="2" name="直接箭头连接符 1"/>
        <cdr:cNvCxnSpPr/>
      </cdr:nvCxnSpPr>
      <cdr:spPr xmlns:a="http://schemas.openxmlformats.org/drawingml/2006/main">
        <a:xfrm xmlns:a="http://schemas.openxmlformats.org/drawingml/2006/main" flipV="1">
          <a:off x="4351020" y="1207770"/>
          <a:ext cx="352425" cy="438150"/>
        </a:xfrm>
        <a:prstGeom xmlns:a="http://schemas.openxmlformats.org/drawingml/2006/main" prst="straightConnector1">
          <a:avLst/>
        </a:prstGeom>
        <a:ln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0.725490196078431</cdr:x>
      <cdr:y>0.59744623655914</cdr:y>
    </cdr:from>
    <cdr:to>
      <cdr:x>0.981271995977878</cdr:x>
      <cdr:y>0.758512544802867</cdr:y>
    </cdr:to>
    <cdr:sp>
      <cdr:nvSpPr>
        <cdr:cNvPr id="3" name="矩形 2"/>
        <cdr:cNvSpPr/>
      </cdr:nvSpPr>
      <cdr:spPr xmlns:a="http://schemas.openxmlformats.org/drawingml/2006/main">
        <a:xfrm xmlns:a="http://schemas.openxmlformats.org/drawingml/2006/main">
          <a:off x="3665220" y="1693545"/>
          <a:ext cx="1292225" cy="456565"/>
        </a:xfrm>
        <a:prstGeom xmlns:a="http://schemas.openxmlformats.org/drawingml/2006/main" prst="rect">
          <a:avLst/>
        </a:prstGeom>
        <a:solidFill>
          <a:schemeClr val="accent2">
            <a:lumMod val="40000"/>
            <a:lumOff val="60000"/>
          </a:schemeClr>
        </a:solidFill>
      </cdr:spPr>
      <cdr:txBody xmlns:a="http://schemas.openxmlformats.org/drawingml/2006/main">
        <a:bodyPr vertOverflow="clip" horzOverflow="clip" wrap="square" rtlCol="0" anchor="t"/>
        <a:p>
          <a:r>
            <a:rPr lang="zh-CN" altLang="en-US"/>
            <a:t>例：</a:t>
          </a:r>
          <a:r>
            <a:rPr lang="en-US" altLang="zh-CN"/>
            <a:t>i</a:t>
          </a:r>
          <a:r>
            <a:rPr lang="en-US" altLang="zh-CN" sz="800"/>
            <a:t>Hp</a:t>
          </a:r>
          <a:r>
            <a:rPr lang="en-US" altLang="zh-CN"/>
            <a:t>=27.5%     </a:t>
          </a:r>
          <a:r>
            <a:rPr lang="zh-CN" altLang="en-US"/>
            <a:t>预警级别</a:t>
          </a:r>
          <a:r>
            <a:rPr lang="en-US" altLang="zh-CN"/>
            <a:t>2</a:t>
          </a:r>
          <a:r>
            <a:rPr lang="zh-CN" altLang="en-US"/>
            <a:t>轻度淤堵</a:t>
          </a:r>
          <a:endParaRPr lang="en-US" altLang="zh-CN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Q23"/>
  <sheetViews>
    <sheetView tabSelected="1" workbookViewId="0">
      <selection activeCell="B18" sqref="B18:I19"/>
    </sheetView>
  </sheetViews>
  <sheetFormatPr defaultColWidth="9" defaultRowHeight="16.8"/>
  <cols>
    <col min="9" max="9" width="12.625"/>
    <col min="17" max="17" width="12.625"/>
  </cols>
  <sheetData>
    <row r="3" spans="4:17">
      <c r="D3" s="1" t="s">
        <v>0</v>
      </c>
      <c r="E3" s="2" t="s">
        <v>1</v>
      </c>
      <c r="F3" s="2"/>
      <c r="G3" s="2"/>
    </row>
    <row r="4" spans="4:17">
      <c r="D4" s="3" t="s">
        <v>2</v>
      </c>
      <c r="E4" s="1" t="s">
        <v>3</v>
      </c>
      <c r="F4" s="1" t="s">
        <v>4</v>
      </c>
      <c r="G4" s="1" t="s">
        <v>5</v>
      </c>
      <c r="J4" s="4" t="s">
        <v>6</v>
      </c>
      <c r="K4" t="s">
        <v>3</v>
      </c>
      <c r="L4" t="s">
        <v>4</v>
      </c>
      <c r="M4" t="s">
        <v>5</v>
      </c>
    </row>
    <row r="5" spans="4:17">
      <c r="D5" s="1">
        <v>1</v>
      </c>
      <c r="E5" s="1">
        <v>5</v>
      </c>
      <c r="F5" s="1">
        <v>4</v>
      </c>
      <c r="G5" s="1">
        <v>3</v>
      </c>
      <c r="H5">
        <f>E5-G5</f>
        <v>2</v>
      </c>
      <c r="I5">
        <f>H5/E5</f>
        <v>0.4</v>
      </c>
      <c r="J5">
        <v>1</v>
      </c>
      <c r="K5">
        <f>E5/10</f>
        <v>0.5</v>
      </c>
      <c r="L5">
        <f>F5/10</f>
        <v>0.4</v>
      </c>
      <c r="M5">
        <f>G5/10</f>
        <v>0.3</v>
      </c>
      <c r="P5">
        <f>K5-M5</f>
        <v>0.2</v>
      </c>
      <c r="Q5">
        <f>P5/K5</f>
        <v>0.4</v>
      </c>
    </row>
    <row r="6" spans="4:17">
      <c r="D6" s="1">
        <v>2</v>
      </c>
      <c r="E6" s="1">
        <v>7</v>
      </c>
      <c r="F6" s="1">
        <v>6</v>
      </c>
      <c r="G6" s="1">
        <v>5</v>
      </c>
      <c r="H6">
        <f t="shared" ref="H6:H14" si="0">E6-G6</f>
        <v>2</v>
      </c>
      <c r="I6">
        <f t="shared" ref="I6:I14" si="1">H6/E6</f>
        <v>0.285714285714286</v>
      </c>
      <c r="J6">
        <v>2</v>
      </c>
      <c r="K6">
        <f>E6/10</f>
        <v>0.7</v>
      </c>
      <c r="L6">
        <f t="shared" ref="L6:L14" si="2">F6/10</f>
        <v>0.6</v>
      </c>
      <c r="M6">
        <f t="shared" ref="M6:M14" si="3">G6/10</f>
        <v>0.5</v>
      </c>
      <c r="P6">
        <f t="shared" ref="P6:P14" si="4">K6-M6</f>
        <v>0.2</v>
      </c>
      <c r="Q6">
        <f t="shared" ref="Q6:Q14" si="5">P6/K6</f>
        <v>0.285714285714286</v>
      </c>
    </row>
    <row r="7" spans="4:17">
      <c r="D7" s="1">
        <v>3</v>
      </c>
      <c r="E7" s="1">
        <v>8</v>
      </c>
      <c r="F7" s="1">
        <v>8</v>
      </c>
      <c r="G7" s="1">
        <v>7</v>
      </c>
      <c r="H7">
        <f t="shared" si="0"/>
        <v>1</v>
      </c>
      <c r="I7">
        <f t="shared" si="1"/>
        <v>0.125</v>
      </c>
      <c r="J7">
        <v>3</v>
      </c>
      <c r="K7">
        <f t="shared" ref="K7:K14" si="6">E7/10</f>
        <v>0.8</v>
      </c>
      <c r="L7">
        <f t="shared" si="2"/>
        <v>0.8</v>
      </c>
      <c r="M7">
        <f t="shared" si="3"/>
        <v>0.7</v>
      </c>
      <c r="P7">
        <f t="shared" si="4"/>
        <v>0.1</v>
      </c>
      <c r="Q7">
        <f t="shared" si="5"/>
        <v>0.125</v>
      </c>
    </row>
    <row r="8" spans="4:17">
      <c r="D8" s="1">
        <v>4</v>
      </c>
      <c r="E8" s="1">
        <v>10</v>
      </c>
      <c r="F8" s="1">
        <v>9</v>
      </c>
      <c r="G8" s="1">
        <v>8</v>
      </c>
      <c r="H8">
        <f t="shared" si="0"/>
        <v>2</v>
      </c>
      <c r="I8">
        <f t="shared" si="1"/>
        <v>0.2</v>
      </c>
      <c r="J8">
        <v>4</v>
      </c>
      <c r="K8">
        <f t="shared" si="6"/>
        <v>1</v>
      </c>
      <c r="L8">
        <f t="shared" si="2"/>
        <v>0.9</v>
      </c>
      <c r="M8">
        <f t="shared" si="3"/>
        <v>0.8</v>
      </c>
      <c r="P8">
        <f t="shared" si="4"/>
        <v>0.2</v>
      </c>
      <c r="Q8">
        <f t="shared" si="5"/>
        <v>0.2</v>
      </c>
    </row>
    <row r="9" spans="4:17">
      <c r="D9" s="1">
        <v>5</v>
      </c>
      <c r="E9" s="1">
        <v>15</v>
      </c>
      <c r="F9" s="1">
        <v>13</v>
      </c>
      <c r="G9" s="1">
        <v>11</v>
      </c>
      <c r="H9">
        <f t="shared" si="0"/>
        <v>4</v>
      </c>
      <c r="I9">
        <f t="shared" si="1"/>
        <v>0.266666666666667</v>
      </c>
      <c r="J9">
        <v>5</v>
      </c>
      <c r="K9">
        <f t="shared" si="6"/>
        <v>1.5</v>
      </c>
      <c r="L9">
        <f t="shared" si="2"/>
        <v>1.3</v>
      </c>
      <c r="M9">
        <f t="shared" si="3"/>
        <v>1.1</v>
      </c>
      <c r="P9">
        <f t="shared" si="4"/>
        <v>0.4</v>
      </c>
      <c r="Q9">
        <f t="shared" si="5"/>
        <v>0.266666666666667</v>
      </c>
    </row>
    <row r="10" spans="4:17">
      <c r="D10" s="1">
        <v>6</v>
      </c>
      <c r="E10" s="1">
        <v>20</v>
      </c>
      <c r="F10" s="1">
        <v>18</v>
      </c>
      <c r="G10" s="1">
        <v>16</v>
      </c>
      <c r="H10">
        <f t="shared" si="0"/>
        <v>4</v>
      </c>
      <c r="I10">
        <f t="shared" si="1"/>
        <v>0.2</v>
      </c>
      <c r="J10">
        <v>6</v>
      </c>
      <c r="K10">
        <f t="shared" si="6"/>
        <v>2</v>
      </c>
      <c r="L10">
        <f t="shared" si="2"/>
        <v>1.8</v>
      </c>
      <c r="M10">
        <f t="shared" si="3"/>
        <v>1.6</v>
      </c>
      <c r="P10">
        <f t="shared" si="4"/>
        <v>0.4</v>
      </c>
      <c r="Q10">
        <f t="shared" si="5"/>
        <v>0.2</v>
      </c>
    </row>
    <row r="11" spans="4:17">
      <c r="D11" s="1">
        <v>7</v>
      </c>
      <c r="E11" s="1">
        <v>25</v>
      </c>
      <c r="F11" s="1">
        <v>24</v>
      </c>
      <c r="G11" s="1">
        <v>19</v>
      </c>
      <c r="H11">
        <f t="shared" si="0"/>
        <v>6</v>
      </c>
      <c r="I11">
        <f t="shared" si="1"/>
        <v>0.24</v>
      </c>
      <c r="J11">
        <v>7</v>
      </c>
      <c r="K11">
        <f t="shared" si="6"/>
        <v>2.5</v>
      </c>
      <c r="L11">
        <f t="shared" si="2"/>
        <v>2.4</v>
      </c>
      <c r="M11">
        <f t="shared" si="3"/>
        <v>1.9</v>
      </c>
      <c r="P11">
        <f t="shared" si="4"/>
        <v>0.6</v>
      </c>
      <c r="Q11">
        <f t="shared" si="5"/>
        <v>0.24</v>
      </c>
    </row>
    <row r="12" spans="4:17">
      <c r="D12" s="1">
        <v>8</v>
      </c>
      <c r="E12" s="1">
        <v>30</v>
      </c>
      <c r="F12" s="1">
        <v>28</v>
      </c>
      <c r="G12" s="1">
        <v>23</v>
      </c>
      <c r="H12">
        <f t="shared" si="0"/>
        <v>7</v>
      </c>
      <c r="I12">
        <f t="shared" si="1"/>
        <v>0.233333333333333</v>
      </c>
      <c r="J12">
        <v>8</v>
      </c>
      <c r="K12">
        <f t="shared" si="6"/>
        <v>3</v>
      </c>
      <c r="L12">
        <f t="shared" si="2"/>
        <v>2.8</v>
      </c>
      <c r="M12">
        <f t="shared" si="3"/>
        <v>2.3</v>
      </c>
      <c r="P12">
        <f t="shared" si="4"/>
        <v>0.7</v>
      </c>
      <c r="Q12">
        <f t="shared" si="5"/>
        <v>0.233333333333333</v>
      </c>
    </row>
    <row r="13" spans="4:17">
      <c r="D13" s="1">
        <v>9</v>
      </c>
      <c r="E13" s="1">
        <v>36</v>
      </c>
      <c r="F13" s="1">
        <v>35</v>
      </c>
      <c r="G13" s="1">
        <v>26</v>
      </c>
      <c r="H13">
        <f t="shared" si="0"/>
        <v>10</v>
      </c>
      <c r="I13">
        <f t="shared" si="1"/>
        <v>0.277777777777778</v>
      </c>
      <c r="J13">
        <v>9</v>
      </c>
      <c r="K13">
        <f t="shared" si="6"/>
        <v>3.6</v>
      </c>
      <c r="L13">
        <f t="shared" si="2"/>
        <v>3.5</v>
      </c>
      <c r="M13">
        <f t="shared" si="3"/>
        <v>2.6</v>
      </c>
      <c r="P13">
        <f t="shared" si="4"/>
        <v>1</v>
      </c>
      <c r="Q13">
        <f t="shared" si="5"/>
        <v>0.277777777777778</v>
      </c>
    </row>
    <row r="14" spans="4:17">
      <c r="D14" s="1">
        <v>10</v>
      </c>
      <c r="E14" s="1">
        <v>40</v>
      </c>
      <c r="F14" s="1">
        <v>38</v>
      </c>
      <c r="G14" s="1">
        <v>30</v>
      </c>
      <c r="H14">
        <f t="shared" si="0"/>
        <v>10</v>
      </c>
      <c r="I14">
        <f t="shared" si="1"/>
        <v>0.25</v>
      </c>
      <c r="J14">
        <v>10</v>
      </c>
      <c r="K14">
        <f t="shared" si="6"/>
        <v>4</v>
      </c>
      <c r="L14">
        <f t="shared" si="2"/>
        <v>3.8</v>
      </c>
      <c r="M14">
        <f t="shared" si="3"/>
        <v>3</v>
      </c>
      <c r="P14">
        <f t="shared" si="4"/>
        <v>1</v>
      </c>
      <c r="Q14">
        <f t="shared" si="5"/>
        <v>0.25</v>
      </c>
    </row>
    <row r="18" spans="2:10">
      <c r="B18" s="5" t="s">
        <v>7</v>
      </c>
      <c r="C18" s="5"/>
      <c r="D18" s="5"/>
      <c r="E18" s="5"/>
      <c r="F18" s="5"/>
      <c r="G18" s="5"/>
      <c r="H18" s="5"/>
      <c r="I18" s="5"/>
      <c r="J18" s="6"/>
    </row>
    <row r="19" spans="2:10">
      <c r="B19" s="5"/>
      <c r="C19" s="5"/>
      <c r="D19" s="5"/>
      <c r="E19" s="5"/>
      <c r="F19" s="5"/>
      <c r="G19" s="5"/>
      <c r="H19" s="5"/>
      <c r="I19" s="5"/>
      <c r="J19" s="6"/>
    </row>
    <row r="20" spans="2:10">
      <c r="B20" s="6"/>
      <c r="C20" s="6" t="s">
        <v>8</v>
      </c>
      <c r="D20" s="6" t="s">
        <v>9</v>
      </c>
      <c r="E20" s="6"/>
      <c r="F20" s="6"/>
      <c r="G20" s="6"/>
      <c r="H20" s="6"/>
      <c r="I20" s="6"/>
      <c r="J20" s="6"/>
    </row>
    <row r="21" spans="2:10">
      <c r="B21" s="6"/>
      <c r="C21" s="6"/>
      <c r="D21" s="6" t="s">
        <v>10</v>
      </c>
      <c r="E21" s="6"/>
      <c r="F21" s="6"/>
      <c r="G21" s="6"/>
      <c r="H21" s="6"/>
      <c r="I21" s="6"/>
      <c r="J21" s="6"/>
    </row>
    <row r="22" spans="2:10">
      <c r="B22" s="6"/>
      <c r="C22" s="6"/>
      <c r="D22" s="6"/>
      <c r="E22" s="6"/>
      <c r="F22" s="6"/>
      <c r="G22" s="6"/>
      <c r="H22" s="6"/>
      <c r="I22" s="6"/>
      <c r="J22" s="6"/>
    </row>
    <row r="23" spans="2:10">
      <c r="B23" s="1"/>
      <c r="C23" s="1"/>
      <c r="D23" s="1"/>
      <c r="E23" s="1"/>
      <c r="F23" s="1"/>
      <c r="G23" s="1"/>
      <c r="H23" s="1"/>
      <c r="I23" s="1"/>
      <c r="J23" s="1"/>
    </row>
  </sheetData>
  <mergeCells count="2">
    <mergeCell ref="E3:G3"/>
    <mergeCell ref="B18:I19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CHD</dc:creator>
  <cp:lastModifiedBy>cui</cp:lastModifiedBy>
  <dcterms:created xsi:type="dcterms:W3CDTF">2015-06-06T02:19:00Z</dcterms:created>
  <dcterms:modified xsi:type="dcterms:W3CDTF">2026-03-18T10:12:54Z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5C4B20824FD64878A9354296C79A6781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